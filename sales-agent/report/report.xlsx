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Журнал рассылки" sheetId="1" state="visible" r:id="rId1"/>
    <sheet name="Воронка и ответы" sheetId="2" state="visible" r:id="rId2"/>
    <sheet name="Динамика по недел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34E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34" customWidth="1" min="3" max="3"/>
    <col width="11" customWidth="1" min="4" max="4"/>
    <col width="22" customWidth="1" min="5" max="5"/>
    <col width="24" customWidth="1" min="6" max="6"/>
    <col width="26" customWidth="1" min="7" max="7"/>
    <col width="28" customWidth="1" min="8" max="8"/>
    <col width="38" customWidth="1" min="9" max="9"/>
    <col width="16" customWidth="1" min="10" max="10"/>
    <col width="12" customWidth="1" min="11" max="11"/>
    <col width="10" customWidth="1" min="12" max="12"/>
    <col width="12" customWidth="1" min="13" max="13"/>
    <col width="60" customWidth="1" min="14" max="14"/>
  </cols>
  <sheetData>
    <row r="1">
      <c r="A1" s="1" t="inlineStr">
        <is>
          <t>№</t>
        </is>
      </c>
      <c r="B1" s="1" t="inlineStr">
        <is>
          <t>Дата письма</t>
        </is>
      </c>
      <c r="C1" s="1" t="inlineStr">
        <is>
          <t>Компания</t>
        </is>
      </c>
      <c r="D1" s="1" t="inlineStr">
        <is>
          <t>Ниша</t>
        </is>
      </c>
      <c r="E1" s="1" t="inlineStr">
        <is>
          <t>Город</t>
        </is>
      </c>
      <c r="F1" s="1" t="inlineStr">
        <is>
          <t>Контакт</t>
        </is>
      </c>
      <c r="G1" s="1" t="inlineStr">
        <is>
          <t>Email</t>
        </is>
      </c>
      <c r="H1" s="1" t="inlineStr">
        <is>
          <t>Сайт</t>
        </is>
      </c>
      <c r="I1" s="1" t="inlineStr">
        <is>
          <t>Тема письма</t>
        </is>
      </c>
      <c r="J1" s="1" t="inlineStr">
        <is>
          <t>Статус</t>
        </is>
      </c>
      <c r="K1" s="1" t="inlineStr">
        <is>
          <t>Дата ответа</t>
        </is>
      </c>
      <c r="L1" s="1" t="inlineStr">
        <is>
          <t>Фоллоу-апы</t>
        </is>
      </c>
      <c r="M1" s="1" t="inlineStr">
        <is>
          <t>Дата созвона</t>
        </is>
      </c>
      <c r="N1" s="1" t="inlineStr">
        <is>
          <t>Заметки</t>
        </is>
      </c>
    </row>
    <row r="2">
      <c r="A2" t="n">
        <v>1</v>
      </c>
      <c r="B2" s="2" t="n">
        <v>46209</v>
      </c>
      <c r="C2" t="inlineStr">
        <is>
          <t>Клиника эстетической медицины «Сибирская»</t>
        </is>
      </c>
      <c r="D2" t="inlineStr">
        <is>
          <t>Бьюти</t>
        </is>
      </c>
      <c r="E2" t="inlineStr">
        <is>
          <t>Новосибирск</t>
        </is>
      </c>
      <c r="F2" t="inlineStr">
        <is>
          <t>Мария Горелова</t>
        </is>
      </c>
      <c r="G2" t="inlineStr">
        <is>
          <t>sibirskaya.nsk@mail.ru</t>
        </is>
      </c>
      <c r="H2" t="inlineStr">
        <is>
          <t>https://mysibirskaya.ru/</t>
        </is>
      </c>
      <c r="I2" t="inlineStr">
        <is>
          <t>Идея по записям для клиники «Сибирская»</t>
        </is>
      </c>
      <c r="J2" t="inlineStr">
        <is>
          <t>Подготовлено</t>
        </is>
      </c>
      <c r="K2" s="2" t="n"/>
      <c r="L2" t="n">
        <v>0</v>
      </c>
      <c r="M2" s="2" t="n"/>
      <c r="N2" t="inlineStr">
        <is>
          <t>Авторская клиника косметолога; лояльные клиенты 10+ лет; нет заметной рекламы в Директе/ВК, продвижение на сарафане</t>
        </is>
      </c>
    </row>
    <row r="3">
      <c r="A3" t="n">
        <v>2</v>
      </c>
      <c r="B3" s="2" t="n">
        <v>46209</v>
      </c>
      <c r="C3" t="inlineStr">
        <is>
          <t>КВК — Клиника врачебной косметологии</t>
        </is>
      </c>
      <c r="D3" t="inlineStr">
        <is>
          <t>Бьюти</t>
        </is>
      </c>
      <c r="E3" t="inlineStr">
        <is>
          <t>Новосибирск (Академгородок)</t>
        </is>
      </c>
      <c r="F3" t="inlineStr">
        <is>
          <t>—</t>
        </is>
      </c>
      <c r="G3" t="inlineStr">
        <is>
          <t>kvk_12@mail.ru</t>
        </is>
      </c>
      <c r="H3" t="inlineStr">
        <is>
          <t>https://kvk-nsk.ru/</t>
        </is>
      </c>
      <c r="I3" t="inlineStr">
        <is>
          <t>Пациенты из ВКонтакте для КВК в Академгородке</t>
        </is>
      </c>
      <c r="J3" t="inlineStr">
        <is>
          <t>Подготовлено</t>
        </is>
      </c>
      <c r="K3" s="2" t="n"/>
      <c r="L3" t="n">
        <v>0</v>
      </c>
      <c r="M3" s="2" t="n"/>
      <c r="N3" t="inlineStr">
        <is>
          <t>Два центра; врачебное позиционирование; активного ВК не видно — локальный таргет по Академгородку свободен</t>
        </is>
      </c>
    </row>
    <row r="4">
      <c r="A4" t="n">
        <v>3</v>
      </c>
      <c r="B4" s="2" t="n">
        <v>46209</v>
      </c>
      <c r="C4" t="inlineStr">
        <is>
          <t>Студия маникюра LAKи</t>
        </is>
      </c>
      <c r="D4" t="inlineStr">
        <is>
          <t>Бьюти</t>
        </is>
      </c>
      <c r="E4" t="inlineStr">
        <is>
          <t>Санкт-Петербург</t>
        </is>
      </c>
      <c r="F4" t="inlineStr">
        <is>
          <t>—</t>
        </is>
      </c>
      <c r="G4" t="inlineStr">
        <is>
          <t>lak-nail@mail.ru</t>
        </is>
      </c>
      <c r="H4" t="inlineStr">
        <is>
          <t>https://lakisalon.ru/</t>
        </is>
      </c>
      <c r="I4" t="inlineStr">
        <is>
          <t>Онлайн-запись и трафик для студии LAKи</t>
        </is>
      </c>
      <c r="J4" t="inlineStr">
        <is>
          <t>Подготовлено</t>
        </is>
      </c>
      <c r="K4" s="2" t="n"/>
      <c r="L4" t="n">
        <v>0</v>
      </c>
      <c r="M4" s="2" t="n"/>
      <c r="N4" t="inlineStr">
        <is>
          <t>Оффер «4 руки за 1,5 часа», гарантия на покрытие; запись только по телефону, нет онлайн-записи и промо-лендингов</t>
        </is>
      </c>
    </row>
    <row r="5">
      <c r="A5" t="n">
        <v>4</v>
      </c>
      <c r="B5" s="2" t="n">
        <v>46209</v>
      </c>
      <c r="C5" t="inlineStr">
        <is>
          <t>SPA-салон LAKSMI</t>
        </is>
      </c>
      <c r="D5" t="inlineStr">
        <is>
          <t>Бьюти</t>
        </is>
      </c>
      <c r="E5" t="inlineStr">
        <is>
          <t>Казань</t>
        </is>
      </c>
      <c r="F5" t="inlineStr">
        <is>
          <t>—</t>
        </is>
      </c>
      <c r="G5" t="inlineStr">
        <is>
          <t>info@spa-kazan.com</t>
        </is>
      </c>
      <c r="H5" t="inlineStr">
        <is>
          <t>https://spa-kazan.com/</t>
        </is>
      </c>
      <c r="I5" t="inlineStr">
        <is>
          <t>SPA для двоих — готовый сегмент для рекламы</t>
        </is>
      </c>
      <c r="J5" t="inlineStr">
        <is>
          <t>Подготовлено</t>
        </is>
      </c>
      <c r="K5" s="2" t="n"/>
      <c r="L5" t="n">
        <v>0</v>
      </c>
      <c r="M5" s="2" t="n"/>
      <c r="N5" t="inlineStr">
        <is>
          <t>Программы «для двоих» и мужские SPA — сегменты под сертификаты; запись только по телефону, реклама сегментов не ведётся</t>
        </is>
      </c>
    </row>
    <row r="6">
      <c r="A6" t="n">
        <v>5</v>
      </c>
      <c r="B6" s="2" t="n">
        <v>46209</v>
      </c>
      <c r="C6" t="inlineStr">
        <is>
          <t>Школа иностранных языков Star Talk</t>
        </is>
      </c>
      <c r="D6" t="inlineStr">
        <is>
          <t>Обучение</t>
        </is>
      </c>
      <c r="E6" t="inlineStr">
        <is>
          <t>Москва</t>
        </is>
      </c>
      <c r="F6" t="inlineStr">
        <is>
          <t>—</t>
        </is>
      </c>
      <c r="G6" t="inlineStr">
        <is>
          <t>english@start2talk.ru</t>
        </is>
      </c>
      <c r="H6" t="inlineStr">
        <is>
          <t>https://www.start2talk.ru/</t>
        </is>
      </c>
      <c r="I6" t="inlineStr">
        <is>
          <t>Ученики из районов у метро для Star Talk</t>
        </is>
      </c>
      <c r="J6" t="inlineStr">
        <is>
          <t>Подготовлено</t>
        </is>
      </c>
      <c r="K6" s="2" t="n"/>
      <c r="L6" t="n">
        <v>0</v>
      </c>
      <c r="M6" s="2" t="n"/>
      <c r="N6" t="inlineStr">
        <is>
          <t>С 2009 г.; филиалы у метро Римская и Домодедовская + онлайн-платформа; нет локального платного трафика по районам</t>
        </is>
      </c>
    </row>
    <row r="7">
      <c r="A7" t="n">
        <v>6</v>
      </c>
      <c r="B7" s="2" t="n">
        <v>46209</v>
      </c>
      <c r="C7" t="inlineStr">
        <is>
          <t>Детская онлайн-школа программирования Hello World</t>
        </is>
      </c>
      <c r="D7" t="inlineStr">
        <is>
          <t>Обучение</t>
        </is>
      </c>
      <c r="E7" t="inlineStr">
        <is>
          <t>Санкт-Петербург</t>
        </is>
      </c>
      <c r="F7" t="inlineStr">
        <is>
          <t>Денис Галкин (гендиректор)</t>
        </is>
      </c>
      <c r="G7" t="inlineStr">
        <is>
          <t>hello@hwschool.online</t>
        </is>
      </c>
      <c r="H7" t="inlineStr">
        <is>
          <t>https://hwschool.online/</t>
        </is>
      </c>
      <c r="I7" t="inlineStr">
        <is>
          <t>Родители из Директа для Hello World</t>
        </is>
      </c>
      <c r="J7" t="inlineStr">
        <is>
          <t>Подготовлено</t>
        </is>
      </c>
      <c r="K7" s="2" t="n"/>
      <c r="L7" t="n">
        <v>0</v>
      </c>
      <c r="M7" s="2" t="n"/>
      <c r="N7" t="inlineStr">
        <is>
          <t>Дети 6–17, занятия 1-на-1, своё приложение; дорогое привлечение, из соцсетей только устаревший Facebook</t>
        </is>
      </c>
    </row>
    <row r="8">
      <c r="A8" t="n">
        <v>7</v>
      </c>
      <c r="B8" s="2" t="n">
        <v>46209</v>
      </c>
      <c r="C8" t="inlineStr">
        <is>
          <t>Художественная школа «Арт-Идея»</t>
        </is>
      </c>
      <c r="D8" t="inlineStr">
        <is>
          <t>Обучение</t>
        </is>
      </c>
      <c r="E8" t="inlineStr">
        <is>
          <t>Санкт-Петербург</t>
        </is>
      </c>
      <c r="F8" t="inlineStr">
        <is>
          <t>—</t>
        </is>
      </c>
      <c r="G8" t="inlineStr">
        <is>
          <t>mail@art-idea.info</t>
        </is>
      </c>
      <c r="H8" t="inlineStr">
        <is>
          <t>https://art-idea.info/</t>
        </is>
      </c>
      <c r="I8" t="inlineStr">
        <is>
          <t>Ученики на курсы рисования из ВКонтакте</t>
        </is>
      </c>
      <c r="J8" t="inlineStr">
        <is>
          <t>Подготовлено</t>
        </is>
      </c>
      <c r="K8" s="2" t="n"/>
      <c r="L8" t="n">
        <v>0</v>
      </c>
      <c r="M8" s="2" t="n"/>
      <c r="N8" t="inlineStr">
        <is>
          <t>Академическая школа у метро Гражданский проспект, дети и взрослые, есть онлайн; сайт-визитка без воронки, живёт на сарафане</t>
        </is>
      </c>
    </row>
    <row r="9">
      <c r="A9" t="n">
        <v>8</v>
      </c>
      <c r="B9" s="2" t="n">
        <v>46209</v>
      </c>
      <c r="C9" t="inlineStr">
        <is>
          <t>Лика Клиник (косметология)</t>
        </is>
      </c>
      <c r="D9" t="inlineStr">
        <is>
          <t>Медицина</t>
        </is>
      </c>
      <c r="E9" t="inlineStr">
        <is>
          <t>Казань</t>
        </is>
      </c>
      <c r="F9" t="inlineStr">
        <is>
          <t>Екатерина Сагитова (врач-дерматокосметолог)</t>
        </is>
      </c>
      <c r="G9" t="inlineStr">
        <is>
          <t>lika_clinic@mail.ru</t>
        </is>
      </c>
      <c r="H9" t="inlineStr">
        <is>
          <t>https://likaclinic.ru/</t>
        </is>
      </c>
      <c r="I9" t="inlineStr">
        <is>
          <t>Пациентки для «Лика Клиник» — не только по рекомендациям</t>
        </is>
      </c>
      <c r="J9" t="inlineStr">
        <is>
          <t>Подготовлено</t>
        </is>
      </c>
      <c r="K9" s="2" t="n"/>
      <c r="L9" t="n">
        <v>0</v>
      </c>
      <c r="M9" s="2" t="n"/>
      <c r="N9" t="inlineStr">
        <is>
          <t>Позиционирование «естественный результат, домашняя атмосфера»; активных соцсетей не видно — потенциал SMM + таргет ВК по Казани</t>
        </is>
      </c>
    </row>
    <row r="10">
      <c r="A10" t="n">
        <v>9</v>
      </c>
      <c r="B10" s="2" t="n">
        <v>46209</v>
      </c>
      <c r="C10" t="inlineStr">
        <is>
          <t>Стоматология «Классик Дент»</t>
        </is>
      </c>
      <c r="D10" t="inlineStr">
        <is>
          <t>Медицина</t>
        </is>
      </c>
      <c r="E10" t="inlineStr">
        <is>
          <t>Екатеринбург</t>
        </is>
      </c>
      <c r="F10" t="inlineStr">
        <is>
          <t>—</t>
        </is>
      </c>
      <c r="G10" t="inlineStr">
        <is>
          <t>klassik-dent@mail.ru</t>
        </is>
      </c>
      <c r="H10" t="inlineStr">
        <is>
          <t>https://classic-dent.ru/</t>
        </is>
      </c>
      <c r="I10" t="inlineStr">
        <is>
          <t>Свои пациенты вместо агрегаторов — для «Классик Дент»</t>
        </is>
      </c>
      <c r="J10" t="inlineStr">
        <is>
          <t>Подготовлено</t>
        </is>
      </c>
      <c r="K10" s="2" t="n"/>
      <c r="L10" t="n">
        <v>0</v>
      </c>
      <c r="M10" s="2" t="n"/>
      <c r="N10" t="inlineStr">
        <is>
          <t>Рейтинг 4.7, 364 отзыва на 2ГИС, детский бренд «ДетиДент»; привлечение опирается на агрегаторы — точка роста Директ</t>
        </is>
      </c>
    </row>
    <row r="11">
      <c r="A11" t="n">
        <v>10</v>
      </c>
      <c r="B11" s="2" t="n">
        <v>46209</v>
      </c>
      <c r="C11" t="inlineStr">
        <is>
          <t>Медицинский центр «Я здоров!»</t>
        </is>
      </c>
      <c r="D11" t="inlineStr">
        <is>
          <t>Медицина</t>
        </is>
      </c>
      <c r="E11" t="inlineStr">
        <is>
          <t>Новосибирск</t>
        </is>
      </c>
      <c r="F11" t="inlineStr">
        <is>
          <t>—</t>
        </is>
      </c>
      <c r="G11" t="inlineStr">
        <is>
          <t>info@med-nsk.ru</t>
        </is>
      </c>
      <c r="H11" t="inlineStr">
        <is>
          <t>https://med-nsk.ru/</t>
        </is>
      </c>
      <c r="I11" t="inlineStr">
        <is>
          <t>Прямые записи для центра «Я здоров!»</t>
        </is>
      </c>
      <c r="J11" t="inlineStr">
        <is>
          <t>Подготовлено</t>
        </is>
      </c>
      <c r="K11" s="2" t="n"/>
      <c r="L11" t="n">
        <v>0</v>
      </c>
      <c r="M11" s="2" t="n"/>
      <c r="N11" t="inlineStr">
        <is>
          <t>28 врачей, 936 отзывов на ПроДокторов; репутация на агрегаторах, собственный платный трафик недозагружен</t>
        </is>
      </c>
    </row>
    <row r="12">
      <c r="A12" t="n">
        <v>11</v>
      </c>
      <c r="B12" s="2" t="n">
        <v>46209</v>
      </c>
      <c r="C12" t="inlineStr">
        <is>
          <t>ProgKids, онлайн-школа программирования для детей</t>
        </is>
      </c>
      <c r="D12" t="inlineStr">
        <is>
          <t>Обучение</t>
        </is>
      </c>
      <c r="E12" t="inlineStr">
        <is>
          <t>Москва</t>
        </is>
      </c>
      <c r="F12" t="inlineStr">
        <is>
          <t>—</t>
        </is>
      </c>
      <c r="G12" t="inlineStr">
        <is>
          <t>support@progkids.com</t>
        </is>
      </c>
      <c r="H12" t="inlineStr">
        <is>
          <t>https://www.progkids.com/</t>
        </is>
      </c>
      <c r="I12" t="inlineStr">
        <is>
          <t>—</t>
        </is>
      </c>
      <c r="J12" t="inlineStr">
        <is>
          <t>Резерв</t>
        </is>
      </c>
      <c r="K12" s="2" t="n"/>
      <c r="L12" t="n">
        <v>0</v>
      </c>
      <c r="M12" s="2" t="n"/>
      <c r="N12" t="inlineStr">
        <is>
          <t>Резерв: общий support-ящик и международный фокус — письмо на следующий день, если нужен добор квоты</t>
        </is>
      </c>
    </row>
    <row r="13">
      <c r="A13" t="n">
        <v>12</v>
      </c>
      <c r="B13" s="2" t="n">
        <v>46209</v>
      </c>
      <c r="C13" t="inlineStr">
        <is>
          <t>Клиника «Призвание»</t>
        </is>
      </c>
      <c r="D13" t="inlineStr">
        <is>
          <t>Медицина</t>
        </is>
      </c>
      <c r="E13" t="inlineStr">
        <is>
          <t>Самара</t>
        </is>
      </c>
      <c r="F13" t="inlineStr">
        <is>
          <t>—</t>
        </is>
      </c>
      <c r="G13" t="inlineStr">
        <is>
          <t>info@clinica-prizvanie.ru</t>
        </is>
      </c>
      <c r="H13" t="inlineStr">
        <is>
          <t>https://clinica-prizvanie.ru/</t>
        </is>
      </c>
      <c r="I13" t="inlineStr">
        <is>
          <t>—</t>
        </is>
      </c>
      <c r="J13" t="inlineStr">
        <is>
          <t>Резерв</t>
        </is>
      </c>
      <c r="K13" s="2" t="n"/>
      <c r="L13" t="n">
        <v>0</v>
      </c>
      <c r="M13" s="2" t="n"/>
      <c r="N13" t="inlineStr">
        <is>
          <t>Резерв: семейная многопрофильная клиника, слабее персонализация — дособрать факты перед письмом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Воронка холодной рассылки — сводка</t>
        </is>
      </c>
    </row>
    <row r="3">
      <c r="A3" t="inlineStr">
        <is>
          <t>Подготовлено (ждут отправки)</t>
        </is>
      </c>
      <c r="B3">
        <f>COUNTIF('Журнал рассылки'!$J:$J,"Подготовлено")</f>
        <v/>
      </c>
    </row>
    <row r="4">
      <c r="A4" t="inlineStr">
        <is>
          <t>В резерве</t>
        </is>
      </c>
      <c r="B4">
        <f>COUNTIF('Журнал рассылки'!$J:$J,"Резерв")</f>
        <v/>
      </c>
    </row>
    <row r="5">
      <c r="A5" t="inlineStr">
        <is>
          <t>Отправлено</t>
        </is>
      </c>
      <c r="B5">
        <f>COUNTIF('Журнал рассылки'!$J:$J,"Отправлено")+COUNTIF('Журнал рассылки'!$J:$J,"Ответил")+COUNTIF('Журнал рассылки'!$J:$J,"Переговоры")+COUNTIF('Журнал рассылки'!$J:$J,"Созвон назначен")+COUNTIF('Журнал рассылки'!$J:$J,"Стал клиентом")+COUNTIF('Журнал рассылки'!$J:$J,"Эскалация (Яна)")+COUNTIF('Журнал рассылки'!$J:$J,"Отказ")+COUNTIF('Журнал рассылки'!$J:$J,"Отписался")</f>
        <v/>
      </c>
    </row>
    <row r="6">
      <c r="A6" t="inlineStr">
        <is>
          <t>Получено ответов</t>
        </is>
      </c>
      <c r="B6">
        <f>COUNTIF('Журнал рассылки'!$J:$J,"Ответил")+COUNTIF('Журнал рассылки'!$J:$J,"Переговоры")+COUNTIF('Журнал рассылки'!$J:$J,"Созвон назначен")+COUNTIF('Журнал рассылки'!$J:$J,"Стал клиентом")+COUNTIF('Журнал рассылки'!$J:$J,"Эскалация (Яна)")+COUNTIF('Журнал рассылки'!$J:$J,"Отказ")+COUNTIF('Журнал рассылки'!$J:$J,"Отписался")</f>
        <v/>
      </c>
    </row>
    <row r="7">
      <c r="A7" t="inlineStr">
        <is>
          <t>Reply rate (доля ответов)</t>
        </is>
      </c>
      <c r="B7" s="4">
        <f>IFERROR(B6/B5,0)</f>
        <v/>
      </c>
    </row>
    <row r="8">
      <c r="A8" t="inlineStr">
        <is>
          <t>Позитивные ответы (интерес)</t>
        </is>
      </c>
      <c r="B8">
        <f>COUNTIF('Журнал рассылки'!$J:$J,"Переговоры")+COUNTIF('Журнал рассылки'!$J:$J,"Созвон назначен")+COUNTIF('Журнал рассылки'!$J:$J,"Стал клиентом")</f>
        <v/>
      </c>
    </row>
    <row r="9">
      <c r="A9" t="inlineStr">
        <is>
          <t>Созвонов назначено</t>
        </is>
      </c>
      <c r="B9">
        <f>COUNTIF('Журнал рассылки'!$J:$J,"Созвон назначен")+COUNTIF('Журнал рассылки'!$J:$J,"Стал клиентом")</f>
        <v/>
      </c>
    </row>
    <row r="10">
      <c r="A10" t="inlineStr">
        <is>
          <t>Конверсия отправлено → созвон</t>
        </is>
      </c>
      <c r="B10" s="4">
        <f>IFERROR(B9/B5,0)</f>
        <v/>
      </c>
    </row>
    <row r="11">
      <c r="A11" t="inlineStr">
        <is>
          <t>Отказов</t>
        </is>
      </c>
      <c r="B11">
        <f>COUNTIF('Журнал рассылки'!$J:$J,"Отказ")</f>
        <v/>
      </c>
    </row>
    <row r="12">
      <c r="A12" t="inlineStr">
        <is>
          <t>Отписалось</t>
        </is>
      </c>
      <c r="B12">
        <f>COUNTIF('Журнал рассылки'!$J:$J,"Отписался")</f>
        <v/>
      </c>
    </row>
    <row r="13">
      <c r="A13" t="inlineStr">
        <is>
          <t>Эскалаций (нужна Яна)</t>
        </is>
      </c>
      <c r="B13">
        <f>COUNTIF('Журнал рассылки'!$J:$J,"Эскалация (Яна)")</f>
        <v/>
      </c>
    </row>
    <row r="15">
      <c r="A15" s="3" t="inlineStr">
        <is>
          <t>Разрез по нишам</t>
        </is>
      </c>
    </row>
    <row r="16">
      <c r="A16" s="1" t="inlineStr">
        <is>
          <t>Ниша</t>
        </is>
      </c>
      <c r="B16" s="1" t="inlineStr">
        <is>
          <t>Отправлено</t>
        </is>
      </c>
      <c r="C16" s="1" t="inlineStr">
        <is>
          <t>Ответов</t>
        </is>
      </c>
      <c r="D16" s="1" t="inlineStr">
        <is>
          <t>Reply rate</t>
        </is>
      </c>
      <c r="E16" s="1" t="inlineStr">
        <is>
          <t>Позитив</t>
        </is>
      </c>
      <c r="F16" s="1" t="inlineStr">
        <is>
          <t>Созвонов</t>
        </is>
      </c>
      <c r="G16" s="1" t="inlineStr">
        <is>
          <t>Конверсия</t>
        </is>
      </c>
    </row>
    <row r="17">
      <c r="A17" t="inlineStr">
        <is>
          <t>Бьюти</t>
        </is>
      </c>
      <c r="B17">
        <f>COUNTIFS('Журнал рассылки'!$D:$D,"Бьюти",'Журнал рассылки'!$J:$J,"Отправлено")+COUNTIFS('Журнал рассылки'!$D:$D,"Бьюти",'Журнал рассылки'!$J:$J,"Ответил")+COUNTIFS('Журнал рассылки'!$D:$D,"Бьюти",'Журнал рассылки'!$J:$J,"Переговоры")+COUNTIFS('Журнал рассылки'!$D:$D,"Бьюти",'Журнал рассылки'!$J:$J,"Созвон назначен")+COUNTIFS('Журнал рассылки'!$D:$D,"Бьюти",'Журнал рассылки'!$J:$J,"Стал клиентом")+COUNTIFS('Журнал рассылки'!$D:$D,"Бьюти",'Журнал рассылки'!$J:$J,"Эскалация (Яна)")+COUNTIFS('Журнал рассылки'!$D:$D,"Бьюти",'Журнал рассылки'!$J:$J,"Отказ")+COUNTIFS('Журнал рассылки'!$D:$D,"Бьюти",'Журнал рассылки'!$J:$J,"Отписался")</f>
        <v/>
      </c>
      <c r="C17">
        <f>COUNTIFS('Журнал рассылки'!$D:$D,"Бьюти",'Журнал рассылки'!$J:$J,"Ответил")+COUNTIFS('Журнал рассылки'!$D:$D,"Бьюти",'Журнал рассылки'!$J:$J,"Переговоры")+COUNTIFS('Журнал рассылки'!$D:$D,"Бьюти",'Журнал рассылки'!$J:$J,"Созвон назначен")+COUNTIFS('Журнал рассылки'!$D:$D,"Бьюти",'Журнал рассылки'!$J:$J,"Стал клиентом")+COUNTIFS('Журнал рассылки'!$D:$D,"Бьюти",'Журнал рассылки'!$J:$J,"Эскалация (Яна)")+COUNTIFS('Журнал рассылки'!$D:$D,"Бьюти",'Журнал рассылки'!$J:$J,"Отказ")+COUNTIFS('Журнал рассылки'!$D:$D,"Бьюти",'Журнал рассылки'!$J:$J,"Отписался")</f>
        <v/>
      </c>
      <c r="D17" s="4">
        <f>IFERROR(C17/B17,0)</f>
        <v/>
      </c>
      <c r="E17">
        <f>COUNTIFS('Журнал рассылки'!$D:$D,"Бьюти",'Журнал рассылки'!$J:$J,"Переговоры")+COUNTIFS('Журнал рассылки'!$D:$D,"Бьюти",'Журнал рассылки'!$J:$J,"Созвон назначен")+COUNTIFS('Журнал рассылки'!$D:$D,"Бьюти",'Журнал рассылки'!$J:$J,"Стал клиентом")</f>
        <v/>
      </c>
      <c r="F17">
        <f>COUNTIFS('Журнал рассылки'!$D:$D,"Бьюти",'Журнал рассылки'!$J:$J,"Созвон назначен")+COUNTIFS('Журнал рассылки'!$D:$D,"Бьюти",'Журнал рассылки'!$J:$J,"Стал клиентом")</f>
        <v/>
      </c>
      <c r="G17" s="4">
        <f>IFERROR(F17/B17,0)</f>
        <v/>
      </c>
    </row>
    <row r="18">
      <c r="A18" t="inlineStr">
        <is>
          <t>Обучение</t>
        </is>
      </c>
      <c r="B18">
        <f>COUNTIFS('Журнал рассылки'!$D:$D,"Обучение",'Журнал рассылки'!$J:$J,"Отправлено")+COUNTIFS('Журнал рассылки'!$D:$D,"Обучение",'Журнал рассылки'!$J:$J,"Ответил")+COUNTIFS('Журнал рассылки'!$D:$D,"Обучение",'Журнал рассылки'!$J:$J,"Переговоры")+COUNTIFS('Журнал рассылки'!$D:$D,"Обучение",'Журнал рассылки'!$J:$J,"Созвон назначен")+COUNTIFS('Журнал рассылки'!$D:$D,"Обучение",'Журнал рассылки'!$J:$J,"Стал клиентом")+COUNTIFS('Журнал рассылки'!$D:$D,"Обучение",'Журнал рассылки'!$J:$J,"Эскалация (Яна)")+COUNTIFS('Журнал рассылки'!$D:$D,"Обучение",'Журнал рассылки'!$J:$J,"Отказ")+COUNTIFS('Журнал рассылки'!$D:$D,"Обучение",'Журнал рассылки'!$J:$J,"Отписался")</f>
        <v/>
      </c>
      <c r="C18">
        <f>COUNTIFS('Журнал рассылки'!$D:$D,"Обучение",'Журнал рассылки'!$J:$J,"Ответил")+COUNTIFS('Журнал рассылки'!$D:$D,"Обучение",'Журнал рассылки'!$J:$J,"Переговоры")+COUNTIFS('Журнал рассылки'!$D:$D,"Обучение",'Журнал рассылки'!$J:$J,"Созвон назначен")+COUNTIFS('Журнал рассылки'!$D:$D,"Обучение",'Журнал рассылки'!$J:$J,"Стал клиентом")+COUNTIFS('Журнал рассылки'!$D:$D,"Обучение",'Журнал рассылки'!$J:$J,"Эскалация (Яна)")+COUNTIFS('Журнал рассылки'!$D:$D,"Обучение",'Журнал рассылки'!$J:$J,"Отказ")+COUNTIFS('Журнал рассылки'!$D:$D,"Обучение",'Журнал рассылки'!$J:$J,"Отписался")</f>
        <v/>
      </c>
      <c r="D18" s="4">
        <f>IFERROR(C18/B18,0)</f>
        <v/>
      </c>
      <c r="E18">
        <f>COUNTIFS('Журнал рассылки'!$D:$D,"Обучение",'Журнал рассылки'!$J:$J,"Переговоры")+COUNTIFS('Журнал рассылки'!$D:$D,"Обучение",'Журнал рассылки'!$J:$J,"Созвон назначен")+COUNTIFS('Журнал рассылки'!$D:$D,"Обучение",'Журнал рассылки'!$J:$J,"Стал клиентом")</f>
        <v/>
      </c>
      <c r="F18">
        <f>COUNTIFS('Журнал рассылки'!$D:$D,"Обучение",'Журнал рассылки'!$J:$J,"Созвон назначен")+COUNTIFS('Журнал рассылки'!$D:$D,"Обучение",'Журнал рассылки'!$J:$J,"Стал клиентом")</f>
        <v/>
      </c>
      <c r="G18" s="4">
        <f>IFERROR(F18/B18,0)</f>
        <v/>
      </c>
    </row>
    <row r="19">
      <c r="A19" t="inlineStr">
        <is>
          <t>Медицина</t>
        </is>
      </c>
      <c r="B19">
        <f>COUNTIFS('Журнал рассылки'!$D:$D,"Медицина",'Журнал рассылки'!$J:$J,"Отправлено")+COUNTIFS('Журнал рассылки'!$D:$D,"Медицина",'Журнал рассылки'!$J:$J,"Ответил")+COUNTIFS('Журнал рассылки'!$D:$D,"Медицина",'Журнал рассылки'!$J:$J,"Переговоры")+COUNTIFS('Журнал рассылки'!$D:$D,"Медицина",'Журнал рассылки'!$J:$J,"Созвон назначен")+COUNTIFS('Журнал рассылки'!$D:$D,"Медицина",'Журнал рассылки'!$J:$J,"Стал клиентом")+COUNTIFS('Журнал рассылки'!$D:$D,"Медицина",'Журнал рассылки'!$J:$J,"Эскалация (Яна)")+COUNTIFS('Журнал рассылки'!$D:$D,"Медицина",'Журнал рассылки'!$J:$J,"Отказ")+COUNTIFS('Журнал рассылки'!$D:$D,"Медицина",'Журнал рассылки'!$J:$J,"Отписался")</f>
        <v/>
      </c>
      <c r="C19">
        <f>COUNTIFS('Журнал рассылки'!$D:$D,"Медицина",'Журнал рассылки'!$J:$J,"Ответил")+COUNTIFS('Журнал рассылки'!$D:$D,"Медицина",'Журнал рассылки'!$J:$J,"Переговоры")+COUNTIFS('Журнал рассылки'!$D:$D,"Медицина",'Журнал рассылки'!$J:$J,"Созвон назначен")+COUNTIFS('Журнал рассылки'!$D:$D,"Медицина",'Журнал рассылки'!$J:$J,"Стал клиентом")+COUNTIFS('Журнал рассылки'!$D:$D,"Медицина",'Журнал рассылки'!$J:$J,"Эскалация (Яна)")+COUNTIFS('Журнал рассылки'!$D:$D,"Медицина",'Журнал рассылки'!$J:$J,"Отказ")+COUNTIFS('Журнал рассылки'!$D:$D,"Медицина",'Журнал рассылки'!$J:$J,"Отписался")</f>
        <v/>
      </c>
      <c r="D19" s="4">
        <f>IFERROR(C19/B19,0)</f>
        <v/>
      </c>
      <c r="E19">
        <f>COUNTIFS('Журнал рассылки'!$D:$D,"Медицина",'Журнал рассылки'!$J:$J,"Переговоры")+COUNTIFS('Журнал рассылки'!$D:$D,"Медицина",'Журнал рассылки'!$J:$J,"Созвон назначен")+COUNTIFS('Журнал рассылки'!$D:$D,"Медицина",'Журнал рассылки'!$J:$J,"Стал клиентом")</f>
        <v/>
      </c>
      <c r="F19">
        <f>COUNTIFS('Журнал рассылки'!$D:$D,"Медицина",'Журнал рассылки'!$J:$J,"Созвон назначен")+COUNTIFS('Журнал рассылки'!$D:$D,"Медицина",'Журнал рассылки'!$J:$J,"Стал клиентом")</f>
        <v/>
      </c>
      <c r="G19" s="4">
        <f>IFERROR(F19/B19,0)</f>
        <v/>
      </c>
    </row>
    <row r="22">
      <c r="A22" s="5" t="inlineStr">
        <is>
          <t>Ориентиры для оценки (холодная B2B-рассылка)</t>
        </is>
      </c>
    </row>
    <row r="23">
      <c r="A23" t="inlineStr">
        <is>
          <t>• Reply rate 3–7% — норма, 10%+ — отлично, ниже 2% после 50 писем — менять тему и первый абзац.</t>
        </is>
      </c>
    </row>
    <row r="24">
      <c r="A24" t="inlineStr">
        <is>
          <t>• Ответы есть, а созвонов нет — проблема в CTA или оффере, а не в базе.</t>
        </is>
      </c>
    </row>
    <row r="25">
      <c r="A25" t="inlineStr">
        <is>
          <t>• Отписок больше 10% — пересмотреть нишу или качество базы.</t>
        </is>
      </c>
    </row>
    <row r="26">
      <c r="A26" t="inlineStr">
        <is>
          <t>• Конверсия в созвон 1–3% от отправленных — рабочий уровень для старта.</t>
        </is>
      </c>
    </row>
    <row r="27">
      <c r="A27" t="inlineStr">
        <is>
          <t>• Выводы по неделям и решения по стратегии — на листе «Динамика по неделям».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0" customWidth="1" min="4" max="4"/>
    <col width="11" customWidth="1" min="5" max="5"/>
    <col width="12" customWidth="1" min="6" max="6"/>
    <col width="10" customWidth="1" min="7" max="7"/>
    <col width="16" customWidth="1" min="8" max="8"/>
    <col width="80" customWidth="1" min="9" max="9"/>
  </cols>
  <sheetData>
    <row r="1">
      <c r="A1" s="1" t="inlineStr">
        <is>
          <t>Неделя с</t>
        </is>
      </c>
      <c r="B1" s="1" t="inlineStr">
        <is>
          <t>по</t>
        </is>
      </c>
      <c r="C1" s="1" t="inlineStr">
        <is>
          <t>Отправлено</t>
        </is>
      </c>
      <c r="D1" s="1" t="inlineStr">
        <is>
          <t>Ответов</t>
        </is>
      </c>
      <c r="E1" s="1" t="inlineStr">
        <is>
          <t>Reply rate</t>
        </is>
      </c>
      <c r="F1" s="1" t="inlineStr">
        <is>
          <t>Позитивных</t>
        </is>
      </c>
      <c r="G1" s="1" t="inlineStr">
        <is>
          <t>Созвонов</t>
        </is>
      </c>
      <c r="H1" s="1" t="inlineStr">
        <is>
          <t>Конверсия в созвон</t>
        </is>
      </c>
      <c r="I1" s="1" t="inlineStr">
        <is>
          <t>Выводы и решения по стратегии</t>
        </is>
      </c>
    </row>
    <row r="2">
      <c r="A2" s="2" t="n">
        <v>46209</v>
      </c>
      <c r="B2" s="2" t="n">
        <v>46215</v>
      </c>
      <c r="C2">
        <f>COUNTIFS('Журнал рассылки'!$B:$B,"&gt;="&amp;$A2,'Журнал рассылки'!$B:$B,"&lt;="&amp;$B2,'Журнал рассылки'!$J:$J,"Отправлено")+COUNTIFS('Журнал рассылки'!$B:$B,"&gt;="&amp;$A2,'Журнал рассылки'!$B:$B,"&lt;="&amp;$B2,'Журнал рассылки'!$J:$J,"Ответил")+COUNTIFS('Журнал рассылки'!$B:$B,"&gt;="&amp;$A2,'Журнал рассылки'!$B:$B,"&lt;="&amp;$B2,'Журнал рассылки'!$J:$J,"Переговоры")+COUNTIFS('Журнал рассылки'!$B:$B,"&gt;="&amp;$A2,'Журнал рассылки'!$B:$B,"&lt;="&amp;$B2,'Журнал рассылки'!$J:$J,"Созвон назначен")+COUNTIFS('Журнал рассылки'!$B:$B,"&gt;="&amp;$A2,'Журнал рассылки'!$B:$B,"&lt;="&amp;$B2,'Журнал рассылки'!$J:$J,"Стал клиентом")+COUNTIFS('Журнал рассылки'!$B:$B,"&gt;="&amp;$A2,'Журнал рассылки'!$B:$B,"&lt;="&amp;$B2,'Журнал рассылки'!$J:$J,"Эскалация (Яна)")+COUNTIFS('Журнал рассылки'!$B:$B,"&gt;="&amp;$A2,'Журнал рассылки'!$B:$B,"&lt;="&amp;$B2,'Журнал рассылки'!$J:$J,"Отказ")+COUNTIFS('Журнал рассылки'!$B:$B,"&gt;="&amp;$A2,'Журнал рассылки'!$B:$B,"&lt;="&amp;$B2,'Журнал рассылки'!$J:$J,"Отписался")</f>
        <v/>
      </c>
      <c r="D2">
        <f>COUNTIFS('Журнал рассылки'!$K:$K,"&gt;="&amp;$A2,'Журнал рассылки'!$K:$K,"&lt;="&amp;$B2)</f>
        <v/>
      </c>
      <c r="E2" s="4">
        <f>IFERROR(D2/C2,"")</f>
        <v/>
      </c>
      <c r="F2">
        <f>COUNTIFS('Журнал рассылки'!$K:$K,"&gt;="&amp;$A2,'Журнал рассылки'!$K:$K,"&lt;="&amp;$B2,'Журнал рассылки'!$J:$J,"Переговоры")+COUNTIFS('Журнал рассылки'!$K:$K,"&gt;="&amp;$A2,'Журнал рассылки'!$K:$K,"&lt;="&amp;$B2,'Журнал рассылки'!$J:$J,"Созвон назначен")+COUNTIFS('Журнал рассылки'!$K:$K,"&gt;="&amp;$A2,'Журнал рассылки'!$K:$K,"&lt;="&amp;$B2,'Журнал рассылки'!$J:$J,"Стал клиентом")</f>
        <v/>
      </c>
      <c r="G2">
        <f>COUNTIFS('Журнал рассылки'!$M:$M,"&gt;="&amp;$A2,'Журнал рассылки'!$M:$M,"&lt;="&amp;$B2)</f>
        <v/>
      </c>
      <c r="H2" s="4">
        <f>IFERROR(G2/C2,"")</f>
        <v/>
      </c>
      <c r="I2" s="6" t="inlineStr">
        <is>
          <t>Старт рассылки: 10 писем (бьюти 4, обучение 3, медицина 3), оффер — платный трафик + SMM, CTA — бесплатная консультация. Ожидание: reply rate ≥3%. Решения принимать после ~30–50 отправленных писем.</t>
        </is>
      </c>
    </row>
    <row r="3">
      <c r="A3" s="2" t="n">
        <v>46216</v>
      </c>
      <c r="B3" s="2" t="n">
        <v>46222</v>
      </c>
      <c r="C3">
        <f>COUNTIFS('Журнал рассылки'!$B:$B,"&gt;="&amp;$A3,'Журнал рассылки'!$B:$B,"&lt;="&amp;$B3,'Журнал рассылки'!$J:$J,"Отправлено")+COUNTIFS('Журнал рассылки'!$B:$B,"&gt;="&amp;$A3,'Журнал рассылки'!$B:$B,"&lt;="&amp;$B3,'Журнал рассылки'!$J:$J,"Ответил")+COUNTIFS('Журнал рассылки'!$B:$B,"&gt;="&amp;$A3,'Журнал рассылки'!$B:$B,"&lt;="&amp;$B3,'Журнал рассылки'!$J:$J,"Переговоры")+COUNTIFS('Журнал рассылки'!$B:$B,"&gt;="&amp;$A3,'Журнал рассылки'!$B:$B,"&lt;="&amp;$B3,'Журнал рассылки'!$J:$J,"Созвон назначен")+COUNTIFS('Журнал рассылки'!$B:$B,"&gt;="&amp;$A3,'Журнал рассылки'!$B:$B,"&lt;="&amp;$B3,'Журнал рассылки'!$J:$J,"Стал клиентом")+COUNTIFS('Журнал рассылки'!$B:$B,"&gt;="&amp;$A3,'Журнал рассылки'!$B:$B,"&lt;="&amp;$B3,'Журнал рассылки'!$J:$J,"Эскалация (Яна)")+COUNTIFS('Журнал рассылки'!$B:$B,"&gt;="&amp;$A3,'Журнал рассылки'!$B:$B,"&lt;="&amp;$B3,'Журнал рассылки'!$J:$J,"Отказ")+COUNTIFS('Журнал рассылки'!$B:$B,"&gt;="&amp;$A3,'Журнал рассылки'!$B:$B,"&lt;="&amp;$B3,'Журнал рассылки'!$J:$J,"Отписался")</f>
        <v/>
      </c>
      <c r="D3">
        <f>COUNTIFS('Журнал рассылки'!$K:$K,"&gt;="&amp;$A3,'Журнал рассылки'!$K:$K,"&lt;="&amp;$B3)</f>
        <v/>
      </c>
      <c r="E3" s="4">
        <f>IFERROR(D3/C3,"")</f>
        <v/>
      </c>
      <c r="F3">
        <f>COUNTIFS('Журнал рассылки'!$K:$K,"&gt;="&amp;$A3,'Журнал рассылки'!$K:$K,"&lt;="&amp;$B3,'Журнал рассылки'!$J:$J,"Переговоры")+COUNTIFS('Журнал рассылки'!$K:$K,"&gt;="&amp;$A3,'Журнал рассылки'!$K:$K,"&lt;="&amp;$B3,'Журнал рассылки'!$J:$J,"Созвон назначен")+COUNTIFS('Журнал рассылки'!$K:$K,"&gt;="&amp;$A3,'Журнал рассылки'!$K:$K,"&lt;="&amp;$B3,'Журнал рассылки'!$J:$J,"Стал клиентом")</f>
        <v/>
      </c>
      <c r="G3">
        <f>COUNTIFS('Журнал рассылки'!$M:$M,"&gt;="&amp;$A3,'Журнал рассылки'!$M:$M,"&lt;="&amp;$B3)</f>
        <v/>
      </c>
      <c r="H3" s="4">
        <f>IFERROR(G3/C3,"")</f>
        <v/>
      </c>
      <c r="I3" s="6" t="inlineStr"/>
    </row>
    <row r="4">
      <c r="A4" s="2" t="n">
        <v>46223</v>
      </c>
      <c r="B4" s="2" t="n">
        <v>46229</v>
      </c>
      <c r="C4">
        <f>COUNTIFS('Журнал рассылки'!$B:$B,"&gt;="&amp;$A4,'Журнал рассылки'!$B:$B,"&lt;="&amp;$B4,'Журнал рассылки'!$J:$J,"Отправлено")+COUNTIFS('Журнал рассылки'!$B:$B,"&gt;="&amp;$A4,'Журнал рассылки'!$B:$B,"&lt;="&amp;$B4,'Журнал рассылки'!$J:$J,"Ответил")+COUNTIFS('Журнал рассылки'!$B:$B,"&gt;="&amp;$A4,'Журнал рассылки'!$B:$B,"&lt;="&amp;$B4,'Журнал рассылки'!$J:$J,"Переговоры")+COUNTIFS('Журнал рассылки'!$B:$B,"&gt;="&amp;$A4,'Журнал рассылки'!$B:$B,"&lt;="&amp;$B4,'Журнал рассылки'!$J:$J,"Созвон назначен")+COUNTIFS('Журнал рассылки'!$B:$B,"&gt;="&amp;$A4,'Журнал рассылки'!$B:$B,"&lt;="&amp;$B4,'Журнал рассылки'!$J:$J,"Стал клиентом")+COUNTIFS('Журнал рассылки'!$B:$B,"&gt;="&amp;$A4,'Журнал рассылки'!$B:$B,"&lt;="&amp;$B4,'Журнал рассылки'!$J:$J,"Эскалация (Яна)")+COUNTIFS('Журнал рассылки'!$B:$B,"&gt;="&amp;$A4,'Журнал рассылки'!$B:$B,"&lt;="&amp;$B4,'Журнал рассылки'!$J:$J,"Отказ")+COUNTIFS('Журнал рассылки'!$B:$B,"&gt;="&amp;$A4,'Журнал рассылки'!$B:$B,"&lt;="&amp;$B4,'Журнал рассылки'!$J:$J,"Отписался")</f>
        <v/>
      </c>
      <c r="D4">
        <f>COUNTIFS('Журнал рассылки'!$K:$K,"&gt;="&amp;$A4,'Журнал рассылки'!$K:$K,"&lt;="&amp;$B4)</f>
        <v/>
      </c>
      <c r="E4" s="4">
        <f>IFERROR(D4/C4,"")</f>
        <v/>
      </c>
      <c r="F4">
        <f>COUNTIFS('Журнал рассылки'!$K:$K,"&gt;="&amp;$A4,'Журнал рассылки'!$K:$K,"&lt;="&amp;$B4,'Журнал рассылки'!$J:$J,"Переговоры")+COUNTIFS('Журнал рассылки'!$K:$K,"&gt;="&amp;$A4,'Журнал рассылки'!$K:$K,"&lt;="&amp;$B4,'Журнал рассылки'!$J:$J,"Созвон назначен")+COUNTIFS('Журнал рассылки'!$K:$K,"&gt;="&amp;$A4,'Журнал рассылки'!$K:$K,"&lt;="&amp;$B4,'Журнал рассылки'!$J:$J,"Стал клиентом")</f>
        <v/>
      </c>
      <c r="G4">
        <f>COUNTIFS('Журнал рассылки'!$M:$M,"&gt;="&amp;$A4,'Журнал рассылки'!$M:$M,"&lt;="&amp;$B4)</f>
        <v/>
      </c>
      <c r="H4" s="4">
        <f>IFERROR(G4/C4,"")</f>
        <v/>
      </c>
      <c r="I4" s="6" t="inlineStr"/>
    </row>
    <row r="5">
      <c r="A5" s="2" t="n">
        <v>46230</v>
      </c>
      <c r="B5" s="2" t="n">
        <v>46236</v>
      </c>
      <c r="C5">
        <f>COUNTIFS('Журнал рассылки'!$B:$B,"&gt;="&amp;$A5,'Журнал рассылки'!$B:$B,"&lt;="&amp;$B5,'Журнал рассылки'!$J:$J,"Отправлено")+COUNTIFS('Журнал рассылки'!$B:$B,"&gt;="&amp;$A5,'Журнал рассылки'!$B:$B,"&lt;="&amp;$B5,'Журнал рассылки'!$J:$J,"Ответил")+COUNTIFS('Журнал рассылки'!$B:$B,"&gt;="&amp;$A5,'Журнал рассылки'!$B:$B,"&lt;="&amp;$B5,'Журнал рассылки'!$J:$J,"Переговоры")+COUNTIFS('Журнал рассылки'!$B:$B,"&gt;="&amp;$A5,'Журнал рассылки'!$B:$B,"&lt;="&amp;$B5,'Журнал рассылки'!$J:$J,"Созвон назначен")+COUNTIFS('Журнал рассылки'!$B:$B,"&gt;="&amp;$A5,'Журнал рассылки'!$B:$B,"&lt;="&amp;$B5,'Журнал рассылки'!$J:$J,"Стал клиентом")+COUNTIFS('Журнал рассылки'!$B:$B,"&gt;="&amp;$A5,'Журнал рассылки'!$B:$B,"&lt;="&amp;$B5,'Журнал рассылки'!$J:$J,"Эскалация (Яна)")+COUNTIFS('Журнал рассылки'!$B:$B,"&gt;="&amp;$A5,'Журнал рассылки'!$B:$B,"&lt;="&amp;$B5,'Журнал рассылки'!$J:$J,"Отказ")+COUNTIFS('Журнал рассылки'!$B:$B,"&gt;="&amp;$A5,'Журнал рассылки'!$B:$B,"&lt;="&amp;$B5,'Журнал рассылки'!$J:$J,"Отписался")</f>
        <v/>
      </c>
      <c r="D5">
        <f>COUNTIFS('Журнал рассылки'!$K:$K,"&gt;="&amp;$A5,'Журнал рассылки'!$K:$K,"&lt;="&amp;$B5)</f>
        <v/>
      </c>
      <c r="E5" s="4">
        <f>IFERROR(D5/C5,"")</f>
        <v/>
      </c>
      <c r="F5">
        <f>COUNTIFS('Журнал рассылки'!$K:$K,"&gt;="&amp;$A5,'Журнал рассылки'!$K:$K,"&lt;="&amp;$B5,'Журнал рассылки'!$J:$J,"Переговоры")+COUNTIFS('Журнал рассылки'!$K:$K,"&gt;="&amp;$A5,'Журнал рассылки'!$K:$K,"&lt;="&amp;$B5,'Журнал рассылки'!$J:$J,"Созвон назначен")+COUNTIFS('Журнал рассылки'!$K:$K,"&gt;="&amp;$A5,'Журнал рассылки'!$K:$K,"&lt;="&amp;$B5,'Журнал рассылки'!$J:$J,"Стал клиентом")</f>
        <v/>
      </c>
      <c r="G5">
        <f>COUNTIFS('Журнал рассылки'!$M:$M,"&gt;="&amp;$A5,'Журнал рассылки'!$M:$M,"&lt;="&amp;$B5)</f>
        <v/>
      </c>
      <c r="H5" s="4">
        <f>IFERROR(G5/C5,"")</f>
        <v/>
      </c>
      <c r="I5" s="6" t="inlineStr"/>
    </row>
    <row r="6">
      <c r="A6" s="2" t="n">
        <v>46237</v>
      </c>
      <c r="B6" s="2" t="n">
        <v>46243</v>
      </c>
      <c r="C6">
        <f>COUNTIFS('Журнал рассылки'!$B:$B,"&gt;="&amp;$A6,'Журнал рассылки'!$B:$B,"&lt;="&amp;$B6,'Журнал рассылки'!$J:$J,"Отправлено")+COUNTIFS('Журнал рассылки'!$B:$B,"&gt;="&amp;$A6,'Журнал рассылки'!$B:$B,"&lt;="&amp;$B6,'Журнал рассылки'!$J:$J,"Ответил")+COUNTIFS('Журнал рассылки'!$B:$B,"&gt;="&amp;$A6,'Журнал рассылки'!$B:$B,"&lt;="&amp;$B6,'Журнал рассылки'!$J:$J,"Переговоры")+COUNTIFS('Журнал рассылки'!$B:$B,"&gt;="&amp;$A6,'Журнал рассылки'!$B:$B,"&lt;="&amp;$B6,'Журнал рассылки'!$J:$J,"Созвон назначен")+COUNTIFS('Журнал рассылки'!$B:$B,"&gt;="&amp;$A6,'Журнал рассылки'!$B:$B,"&lt;="&amp;$B6,'Журнал рассылки'!$J:$J,"Стал клиентом")+COUNTIFS('Журнал рассылки'!$B:$B,"&gt;="&amp;$A6,'Журнал рассылки'!$B:$B,"&lt;="&amp;$B6,'Журнал рассылки'!$J:$J,"Эскалация (Яна)")+COUNTIFS('Журнал рассылки'!$B:$B,"&gt;="&amp;$A6,'Журнал рассылки'!$B:$B,"&lt;="&amp;$B6,'Журнал рассылки'!$J:$J,"Отказ")+COUNTIFS('Журнал рассылки'!$B:$B,"&gt;="&amp;$A6,'Журнал рассылки'!$B:$B,"&lt;="&amp;$B6,'Журнал рассылки'!$J:$J,"Отписался")</f>
        <v/>
      </c>
      <c r="D6">
        <f>COUNTIFS('Журнал рассылки'!$K:$K,"&gt;="&amp;$A6,'Журнал рассылки'!$K:$K,"&lt;="&amp;$B6)</f>
        <v/>
      </c>
      <c r="E6" s="4">
        <f>IFERROR(D6/C6,"")</f>
        <v/>
      </c>
      <c r="F6">
        <f>COUNTIFS('Журнал рассылки'!$K:$K,"&gt;="&amp;$A6,'Журнал рассылки'!$K:$K,"&lt;="&amp;$B6,'Журнал рассылки'!$J:$J,"Переговоры")+COUNTIFS('Журнал рассылки'!$K:$K,"&gt;="&amp;$A6,'Журнал рассылки'!$K:$K,"&lt;="&amp;$B6,'Журнал рассылки'!$J:$J,"Созвон назначен")+COUNTIFS('Журнал рассылки'!$K:$K,"&gt;="&amp;$A6,'Журнал рассылки'!$K:$K,"&lt;="&amp;$B6,'Журнал рассылки'!$J:$J,"Стал клиентом")</f>
        <v/>
      </c>
      <c r="G6">
        <f>COUNTIFS('Журнал рассылки'!$M:$M,"&gt;="&amp;$A6,'Журнал рассылки'!$M:$M,"&lt;="&amp;$B6)</f>
        <v/>
      </c>
      <c r="H6" s="4">
        <f>IFERROR(G6/C6,"")</f>
        <v/>
      </c>
      <c r="I6" s="6" t="inlineStr"/>
    </row>
    <row r="7">
      <c r="A7" s="2" t="n">
        <v>46244</v>
      </c>
      <c r="B7" s="2" t="n">
        <v>46250</v>
      </c>
      <c r="C7">
        <f>COUNTIFS('Журнал рассылки'!$B:$B,"&gt;="&amp;$A7,'Журнал рассылки'!$B:$B,"&lt;="&amp;$B7,'Журнал рассылки'!$J:$J,"Отправлено")+COUNTIFS('Журнал рассылки'!$B:$B,"&gt;="&amp;$A7,'Журнал рассылки'!$B:$B,"&lt;="&amp;$B7,'Журнал рассылки'!$J:$J,"Ответил")+COUNTIFS('Журнал рассылки'!$B:$B,"&gt;="&amp;$A7,'Журнал рассылки'!$B:$B,"&lt;="&amp;$B7,'Журнал рассылки'!$J:$J,"Переговоры")+COUNTIFS('Журнал рассылки'!$B:$B,"&gt;="&amp;$A7,'Журнал рассылки'!$B:$B,"&lt;="&amp;$B7,'Журнал рассылки'!$J:$J,"Созвон назначен")+COUNTIFS('Журнал рассылки'!$B:$B,"&gt;="&amp;$A7,'Журнал рассылки'!$B:$B,"&lt;="&amp;$B7,'Журнал рассылки'!$J:$J,"Стал клиентом")+COUNTIFS('Журнал рассылки'!$B:$B,"&gt;="&amp;$A7,'Журнал рассылки'!$B:$B,"&lt;="&amp;$B7,'Журнал рассылки'!$J:$J,"Эскалация (Яна)")+COUNTIFS('Журнал рассылки'!$B:$B,"&gt;="&amp;$A7,'Журнал рассылки'!$B:$B,"&lt;="&amp;$B7,'Журнал рассылки'!$J:$J,"Отказ")+COUNTIFS('Журнал рассылки'!$B:$B,"&gt;="&amp;$A7,'Журнал рассылки'!$B:$B,"&lt;="&amp;$B7,'Журнал рассылки'!$J:$J,"Отписался")</f>
        <v/>
      </c>
      <c r="D7">
        <f>COUNTIFS('Журнал рассылки'!$K:$K,"&gt;="&amp;$A7,'Журнал рассылки'!$K:$K,"&lt;="&amp;$B7)</f>
        <v/>
      </c>
      <c r="E7" s="4">
        <f>IFERROR(D7/C7,"")</f>
        <v/>
      </c>
      <c r="F7">
        <f>COUNTIFS('Журнал рассылки'!$K:$K,"&gt;="&amp;$A7,'Журнал рассылки'!$K:$K,"&lt;="&amp;$B7,'Журнал рассылки'!$J:$J,"Переговоры")+COUNTIFS('Журнал рассылки'!$K:$K,"&gt;="&amp;$A7,'Журнал рассылки'!$K:$K,"&lt;="&amp;$B7,'Журнал рассылки'!$J:$J,"Созвон назначен")+COUNTIFS('Журнал рассылки'!$K:$K,"&gt;="&amp;$A7,'Журнал рассылки'!$K:$K,"&lt;="&amp;$B7,'Журнал рассылки'!$J:$J,"Стал клиентом")</f>
        <v/>
      </c>
      <c r="G7">
        <f>COUNTIFS('Журнал рассылки'!$M:$M,"&gt;="&amp;$A7,'Журнал рассылки'!$M:$M,"&lt;="&amp;$B7)</f>
        <v/>
      </c>
      <c r="H7" s="4">
        <f>IFERROR(G7/C7,"")</f>
        <v/>
      </c>
      <c r="I7" s="6" t="inlineStr"/>
    </row>
    <row r="8">
      <c r="A8" s="2" t="n">
        <v>46251</v>
      </c>
      <c r="B8" s="2" t="n">
        <v>46257</v>
      </c>
      <c r="C8">
        <f>COUNTIFS('Журнал рассылки'!$B:$B,"&gt;="&amp;$A8,'Журнал рассылки'!$B:$B,"&lt;="&amp;$B8,'Журнал рассылки'!$J:$J,"Отправлено")+COUNTIFS('Журнал рассылки'!$B:$B,"&gt;="&amp;$A8,'Журнал рассылки'!$B:$B,"&lt;="&amp;$B8,'Журнал рассылки'!$J:$J,"Ответил")+COUNTIFS('Журнал рассылки'!$B:$B,"&gt;="&amp;$A8,'Журнал рассылки'!$B:$B,"&lt;="&amp;$B8,'Журнал рассылки'!$J:$J,"Переговоры")+COUNTIFS('Журнал рассылки'!$B:$B,"&gt;="&amp;$A8,'Журнал рассылки'!$B:$B,"&lt;="&amp;$B8,'Журнал рассылки'!$J:$J,"Созвон назначен")+COUNTIFS('Журнал рассылки'!$B:$B,"&gt;="&amp;$A8,'Журнал рассылки'!$B:$B,"&lt;="&amp;$B8,'Журнал рассылки'!$J:$J,"Стал клиентом")+COUNTIFS('Журнал рассылки'!$B:$B,"&gt;="&amp;$A8,'Журнал рассылки'!$B:$B,"&lt;="&amp;$B8,'Журнал рассылки'!$J:$J,"Эскалация (Яна)")+COUNTIFS('Журнал рассылки'!$B:$B,"&gt;="&amp;$A8,'Журнал рассылки'!$B:$B,"&lt;="&amp;$B8,'Журнал рассылки'!$J:$J,"Отказ")+COUNTIFS('Журнал рассылки'!$B:$B,"&gt;="&amp;$A8,'Журнал рассылки'!$B:$B,"&lt;="&amp;$B8,'Журнал рассылки'!$J:$J,"Отписался")</f>
        <v/>
      </c>
      <c r="D8">
        <f>COUNTIFS('Журнал рассылки'!$K:$K,"&gt;="&amp;$A8,'Журнал рассылки'!$K:$K,"&lt;="&amp;$B8)</f>
        <v/>
      </c>
      <c r="E8" s="4">
        <f>IFERROR(D8/C8,"")</f>
        <v/>
      </c>
      <c r="F8">
        <f>COUNTIFS('Журнал рассылки'!$K:$K,"&gt;="&amp;$A8,'Журнал рассылки'!$K:$K,"&lt;="&amp;$B8,'Журнал рассылки'!$J:$J,"Переговоры")+COUNTIFS('Журнал рассылки'!$K:$K,"&gt;="&amp;$A8,'Журнал рассылки'!$K:$K,"&lt;="&amp;$B8,'Журнал рассылки'!$J:$J,"Созвон назначен")+COUNTIFS('Журнал рассылки'!$K:$K,"&gt;="&amp;$A8,'Журнал рассылки'!$K:$K,"&lt;="&amp;$B8,'Журнал рассылки'!$J:$J,"Стал клиентом")</f>
        <v/>
      </c>
      <c r="G8">
        <f>COUNTIFS('Журнал рассылки'!$M:$M,"&gt;="&amp;$A8,'Журнал рассылки'!$M:$M,"&lt;="&amp;$B8)</f>
        <v/>
      </c>
      <c r="H8" s="4">
        <f>IFERROR(G8/C8,"")</f>
        <v/>
      </c>
      <c r="I8" s="6" t="inlineStr"/>
    </row>
    <row r="9">
      <c r="A9" s="2" t="n">
        <v>46258</v>
      </c>
      <c r="B9" s="2" t="n">
        <v>46264</v>
      </c>
      <c r="C9">
        <f>COUNTIFS('Журнал рассылки'!$B:$B,"&gt;="&amp;$A9,'Журнал рассылки'!$B:$B,"&lt;="&amp;$B9,'Журнал рассылки'!$J:$J,"Отправлено")+COUNTIFS('Журнал рассылки'!$B:$B,"&gt;="&amp;$A9,'Журнал рассылки'!$B:$B,"&lt;="&amp;$B9,'Журнал рассылки'!$J:$J,"Ответил")+COUNTIFS('Журнал рассылки'!$B:$B,"&gt;="&amp;$A9,'Журнал рассылки'!$B:$B,"&lt;="&amp;$B9,'Журнал рассылки'!$J:$J,"Переговоры")+COUNTIFS('Журнал рассылки'!$B:$B,"&gt;="&amp;$A9,'Журнал рассылки'!$B:$B,"&lt;="&amp;$B9,'Журнал рассылки'!$J:$J,"Созвон назначен")+COUNTIFS('Журнал рассылки'!$B:$B,"&gt;="&amp;$A9,'Журнал рассылки'!$B:$B,"&lt;="&amp;$B9,'Журнал рассылки'!$J:$J,"Стал клиентом")+COUNTIFS('Журнал рассылки'!$B:$B,"&gt;="&amp;$A9,'Журнал рассылки'!$B:$B,"&lt;="&amp;$B9,'Журнал рассылки'!$J:$J,"Эскалация (Яна)")+COUNTIFS('Журнал рассылки'!$B:$B,"&gt;="&amp;$A9,'Журнал рассылки'!$B:$B,"&lt;="&amp;$B9,'Журнал рассылки'!$J:$J,"Отказ")+COUNTIFS('Журнал рассылки'!$B:$B,"&gt;="&amp;$A9,'Журнал рассылки'!$B:$B,"&lt;="&amp;$B9,'Журнал рассылки'!$J:$J,"Отписался")</f>
        <v/>
      </c>
      <c r="D9">
        <f>COUNTIFS('Журнал рассылки'!$K:$K,"&gt;="&amp;$A9,'Журнал рассылки'!$K:$K,"&lt;="&amp;$B9)</f>
        <v/>
      </c>
      <c r="E9" s="4">
        <f>IFERROR(D9/C9,"")</f>
        <v/>
      </c>
      <c r="F9">
        <f>COUNTIFS('Журнал рассылки'!$K:$K,"&gt;="&amp;$A9,'Журнал рассылки'!$K:$K,"&lt;="&amp;$B9,'Журнал рассылки'!$J:$J,"Переговоры")+COUNTIFS('Журнал рассылки'!$K:$K,"&gt;="&amp;$A9,'Журнал рассылки'!$K:$K,"&lt;="&amp;$B9,'Журнал рассылки'!$J:$J,"Созвон назначен")+COUNTIFS('Журнал рассылки'!$K:$K,"&gt;="&amp;$A9,'Журнал рассылки'!$K:$K,"&lt;="&amp;$B9,'Журнал рассылки'!$J:$J,"Стал клиентом")</f>
        <v/>
      </c>
      <c r="G9">
        <f>COUNTIFS('Журнал рассылки'!$M:$M,"&gt;="&amp;$A9,'Журнал рассылки'!$M:$M,"&lt;="&amp;$B9)</f>
        <v/>
      </c>
      <c r="H9" s="4">
        <f>IFERROR(G9/C9,"")</f>
        <v/>
      </c>
      <c r="I9" s="6" t="inlineStr"/>
    </row>
    <row r="10">
      <c r="A10" s="2" t="n">
        <v>46265</v>
      </c>
      <c r="B10" s="2" t="n">
        <v>46271</v>
      </c>
      <c r="C10">
        <f>COUNTIFS('Журнал рассылки'!$B:$B,"&gt;="&amp;$A10,'Журнал рассылки'!$B:$B,"&lt;="&amp;$B10,'Журнал рассылки'!$J:$J,"Отправлено")+COUNTIFS('Журнал рассылки'!$B:$B,"&gt;="&amp;$A10,'Журнал рассылки'!$B:$B,"&lt;="&amp;$B10,'Журнал рассылки'!$J:$J,"Ответил")+COUNTIFS('Журнал рассылки'!$B:$B,"&gt;="&amp;$A10,'Журнал рассылки'!$B:$B,"&lt;="&amp;$B10,'Журнал рассылки'!$J:$J,"Переговоры")+COUNTIFS('Журнал рассылки'!$B:$B,"&gt;="&amp;$A10,'Журнал рассылки'!$B:$B,"&lt;="&amp;$B10,'Журнал рассылки'!$J:$J,"Созвон назначен")+COUNTIFS('Журнал рассылки'!$B:$B,"&gt;="&amp;$A10,'Журнал рассылки'!$B:$B,"&lt;="&amp;$B10,'Журнал рассылки'!$J:$J,"Стал клиентом")+COUNTIFS('Журнал рассылки'!$B:$B,"&gt;="&amp;$A10,'Журнал рассылки'!$B:$B,"&lt;="&amp;$B10,'Журнал рассылки'!$J:$J,"Эскалация (Яна)")+COUNTIFS('Журнал рассылки'!$B:$B,"&gt;="&amp;$A10,'Журнал рассылки'!$B:$B,"&lt;="&amp;$B10,'Журнал рассылки'!$J:$J,"Отказ")+COUNTIFS('Журнал рассылки'!$B:$B,"&gt;="&amp;$A10,'Журнал рассылки'!$B:$B,"&lt;="&amp;$B10,'Журнал рассылки'!$J:$J,"Отписался")</f>
        <v/>
      </c>
      <c r="D10">
        <f>COUNTIFS('Журнал рассылки'!$K:$K,"&gt;="&amp;$A10,'Журнал рассылки'!$K:$K,"&lt;="&amp;$B10)</f>
        <v/>
      </c>
      <c r="E10" s="4">
        <f>IFERROR(D10/C10,"")</f>
        <v/>
      </c>
      <c r="F10">
        <f>COUNTIFS('Журнал рассылки'!$K:$K,"&gt;="&amp;$A10,'Журнал рассылки'!$K:$K,"&lt;="&amp;$B10,'Журнал рассылки'!$J:$J,"Переговоры")+COUNTIFS('Журнал рассылки'!$K:$K,"&gt;="&amp;$A10,'Журнал рассылки'!$K:$K,"&lt;="&amp;$B10,'Журнал рассылки'!$J:$J,"Созвон назначен")+COUNTIFS('Журнал рассылки'!$K:$K,"&gt;="&amp;$A10,'Журнал рассылки'!$K:$K,"&lt;="&amp;$B10,'Журнал рассылки'!$J:$J,"Стал клиентом")</f>
        <v/>
      </c>
      <c r="G10">
        <f>COUNTIFS('Журнал рассылки'!$M:$M,"&gt;="&amp;$A10,'Журнал рассылки'!$M:$M,"&lt;="&amp;$B10)</f>
        <v/>
      </c>
      <c r="H10" s="4">
        <f>IFERROR(G10/C10,"")</f>
        <v/>
      </c>
      <c r="I10" s="6" t="inlineStr"/>
    </row>
    <row r="11">
      <c r="A11" s="2" t="n">
        <v>46272</v>
      </c>
      <c r="B11" s="2" t="n">
        <v>46278</v>
      </c>
      <c r="C11">
        <f>COUNTIFS('Журнал рассылки'!$B:$B,"&gt;="&amp;$A11,'Журнал рассылки'!$B:$B,"&lt;="&amp;$B11,'Журнал рассылки'!$J:$J,"Отправлено")+COUNTIFS('Журнал рассылки'!$B:$B,"&gt;="&amp;$A11,'Журнал рассылки'!$B:$B,"&lt;="&amp;$B11,'Журнал рассылки'!$J:$J,"Ответил")+COUNTIFS('Журнал рассылки'!$B:$B,"&gt;="&amp;$A11,'Журнал рассылки'!$B:$B,"&lt;="&amp;$B11,'Журнал рассылки'!$J:$J,"Переговоры")+COUNTIFS('Журнал рассылки'!$B:$B,"&gt;="&amp;$A11,'Журнал рассылки'!$B:$B,"&lt;="&amp;$B11,'Журнал рассылки'!$J:$J,"Созвон назначен")+COUNTIFS('Журнал рассылки'!$B:$B,"&gt;="&amp;$A11,'Журнал рассылки'!$B:$B,"&lt;="&amp;$B11,'Журнал рассылки'!$J:$J,"Стал клиентом")+COUNTIFS('Журнал рассылки'!$B:$B,"&gt;="&amp;$A11,'Журнал рассылки'!$B:$B,"&lt;="&amp;$B11,'Журнал рассылки'!$J:$J,"Эскалация (Яна)")+COUNTIFS('Журнал рассылки'!$B:$B,"&gt;="&amp;$A11,'Журнал рассылки'!$B:$B,"&lt;="&amp;$B11,'Журнал рассылки'!$J:$J,"Отказ")+COUNTIFS('Журнал рассылки'!$B:$B,"&gt;="&amp;$A11,'Журнал рассылки'!$B:$B,"&lt;="&amp;$B11,'Журнал рассылки'!$J:$J,"Отписался")</f>
        <v/>
      </c>
      <c r="D11">
        <f>COUNTIFS('Журнал рассылки'!$K:$K,"&gt;="&amp;$A11,'Журнал рассылки'!$K:$K,"&lt;="&amp;$B11)</f>
        <v/>
      </c>
      <c r="E11" s="4">
        <f>IFERROR(D11/C11,"")</f>
        <v/>
      </c>
      <c r="F11">
        <f>COUNTIFS('Журнал рассылки'!$K:$K,"&gt;="&amp;$A11,'Журнал рассылки'!$K:$K,"&lt;="&amp;$B11,'Журнал рассылки'!$J:$J,"Переговоры")+COUNTIFS('Журнал рассылки'!$K:$K,"&gt;="&amp;$A11,'Журнал рассылки'!$K:$K,"&lt;="&amp;$B11,'Журнал рассылки'!$J:$J,"Созвон назначен")+COUNTIFS('Журнал рассылки'!$K:$K,"&gt;="&amp;$A11,'Журнал рассылки'!$K:$K,"&lt;="&amp;$B11,'Журнал рассылки'!$J:$J,"Стал клиентом")</f>
        <v/>
      </c>
      <c r="G11">
        <f>COUNTIFS('Журнал рассылки'!$M:$M,"&gt;="&amp;$A11,'Журнал рассылки'!$M:$M,"&lt;="&amp;$B11)</f>
        <v/>
      </c>
      <c r="H11" s="4">
        <f>IFERROR(G11/C11,"")</f>
        <v/>
      </c>
      <c r="I11" s="6" t="inlineStr"/>
    </row>
    <row r="12">
      <c r="A12" s="2" t="n">
        <v>46279</v>
      </c>
      <c r="B12" s="2" t="n">
        <v>46285</v>
      </c>
      <c r="C12">
        <f>COUNTIFS('Журнал рассылки'!$B:$B,"&gt;="&amp;$A12,'Журнал рассылки'!$B:$B,"&lt;="&amp;$B12,'Журнал рассылки'!$J:$J,"Отправлено")+COUNTIFS('Журнал рассылки'!$B:$B,"&gt;="&amp;$A12,'Журнал рассылки'!$B:$B,"&lt;="&amp;$B12,'Журнал рассылки'!$J:$J,"Ответил")+COUNTIFS('Журнал рассылки'!$B:$B,"&gt;="&amp;$A12,'Журнал рассылки'!$B:$B,"&lt;="&amp;$B12,'Журнал рассылки'!$J:$J,"Переговоры")+COUNTIFS('Журнал рассылки'!$B:$B,"&gt;="&amp;$A12,'Журнал рассылки'!$B:$B,"&lt;="&amp;$B12,'Журнал рассылки'!$J:$J,"Созвон назначен")+COUNTIFS('Журнал рассылки'!$B:$B,"&gt;="&amp;$A12,'Журнал рассылки'!$B:$B,"&lt;="&amp;$B12,'Журнал рассылки'!$J:$J,"Стал клиентом")+COUNTIFS('Журнал рассылки'!$B:$B,"&gt;="&amp;$A12,'Журнал рассылки'!$B:$B,"&lt;="&amp;$B12,'Журнал рассылки'!$J:$J,"Эскалация (Яна)")+COUNTIFS('Журнал рассылки'!$B:$B,"&gt;="&amp;$A12,'Журнал рассылки'!$B:$B,"&lt;="&amp;$B12,'Журнал рассылки'!$J:$J,"Отказ")+COUNTIFS('Журнал рассылки'!$B:$B,"&gt;="&amp;$A12,'Журнал рассылки'!$B:$B,"&lt;="&amp;$B12,'Журнал рассылки'!$J:$J,"Отписался")</f>
        <v/>
      </c>
      <c r="D12">
        <f>COUNTIFS('Журнал рассылки'!$K:$K,"&gt;="&amp;$A12,'Журнал рассылки'!$K:$K,"&lt;="&amp;$B12)</f>
        <v/>
      </c>
      <c r="E12" s="4">
        <f>IFERROR(D12/C12,"")</f>
        <v/>
      </c>
      <c r="F12">
        <f>COUNTIFS('Журнал рассылки'!$K:$K,"&gt;="&amp;$A12,'Журнал рассылки'!$K:$K,"&lt;="&amp;$B12,'Журнал рассылки'!$J:$J,"Переговоры")+COUNTIFS('Журнал рассылки'!$K:$K,"&gt;="&amp;$A12,'Журнал рассылки'!$K:$K,"&lt;="&amp;$B12,'Журнал рассылки'!$J:$J,"Созвон назначен")+COUNTIFS('Журнал рассылки'!$K:$K,"&gt;="&amp;$A12,'Журнал рассылки'!$K:$K,"&lt;="&amp;$B12,'Журнал рассылки'!$J:$J,"Стал клиентом")</f>
        <v/>
      </c>
      <c r="G12">
        <f>COUNTIFS('Журнал рассылки'!$M:$M,"&gt;="&amp;$A12,'Журнал рассылки'!$M:$M,"&lt;="&amp;$B12)</f>
        <v/>
      </c>
      <c r="H12" s="4">
        <f>IFERROR(G12/C12,"")</f>
        <v/>
      </c>
      <c r="I12" s="6" t="inlineStr"/>
    </row>
    <row r="13">
      <c r="A13" s="2" t="n">
        <v>46286</v>
      </c>
      <c r="B13" s="2" t="n">
        <v>46292</v>
      </c>
      <c r="C13">
        <f>COUNTIFS('Журнал рассылки'!$B:$B,"&gt;="&amp;$A13,'Журнал рассылки'!$B:$B,"&lt;="&amp;$B13,'Журнал рассылки'!$J:$J,"Отправлено")+COUNTIFS('Журнал рассылки'!$B:$B,"&gt;="&amp;$A13,'Журнал рассылки'!$B:$B,"&lt;="&amp;$B13,'Журнал рассылки'!$J:$J,"Ответил")+COUNTIFS('Журнал рассылки'!$B:$B,"&gt;="&amp;$A13,'Журнал рассылки'!$B:$B,"&lt;="&amp;$B13,'Журнал рассылки'!$J:$J,"Переговоры")+COUNTIFS('Журнал рассылки'!$B:$B,"&gt;="&amp;$A13,'Журнал рассылки'!$B:$B,"&lt;="&amp;$B13,'Журнал рассылки'!$J:$J,"Созвон назначен")+COUNTIFS('Журнал рассылки'!$B:$B,"&gt;="&amp;$A13,'Журнал рассылки'!$B:$B,"&lt;="&amp;$B13,'Журнал рассылки'!$J:$J,"Стал клиентом")+COUNTIFS('Журнал рассылки'!$B:$B,"&gt;="&amp;$A13,'Журнал рассылки'!$B:$B,"&lt;="&amp;$B13,'Журнал рассылки'!$J:$J,"Эскалация (Яна)")+COUNTIFS('Журнал рассылки'!$B:$B,"&gt;="&amp;$A13,'Журнал рассылки'!$B:$B,"&lt;="&amp;$B13,'Журнал рассылки'!$J:$J,"Отказ")+COUNTIFS('Журнал рассылки'!$B:$B,"&gt;="&amp;$A13,'Журнал рассылки'!$B:$B,"&lt;="&amp;$B13,'Журнал рассылки'!$J:$J,"Отписался")</f>
        <v/>
      </c>
      <c r="D13">
        <f>COUNTIFS('Журнал рассылки'!$K:$K,"&gt;="&amp;$A13,'Журнал рассылки'!$K:$K,"&lt;="&amp;$B13)</f>
        <v/>
      </c>
      <c r="E13" s="4">
        <f>IFERROR(D13/C13,"")</f>
        <v/>
      </c>
      <c r="F13">
        <f>COUNTIFS('Журнал рассылки'!$K:$K,"&gt;="&amp;$A13,'Журнал рассылки'!$K:$K,"&lt;="&amp;$B13,'Журнал рассылки'!$J:$J,"Переговоры")+COUNTIFS('Журнал рассылки'!$K:$K,"&gt;="&amp;$A13,'Журнал рассылки'!$K:$K,"&lt;="&amp;$B13,'Журнал рассылки'!$J:$J,"Созвон назначен")+COUNTIFS('Журнал рассылки'!$K:$K,"&gt;="&amp;$A13,'Журнал рассылки'!$K:$K,"&lt;="&amp;$B13,'Журнал рассылки'!$J:$J,"Стал клиентом")</f>
        <v/>
      </c>
      <c r="G13">
        <f>COUNTIFS('Журнал рассылки'!$M:$M,"&gt;="&amp;$A13,'Журнал рассылки'!$M:$M,"&lt;="&amp;$B13)</f>
        <v/>
      </c>
      <c r="H13" s="4">
        <f>IFERROR(G13/C13,"")</f>
        <v/>
      </c>
      <c r="I13" s="6" t="inlineStr"/>
    </row>
    <row r="14">
      <c r="A14" s="2" t="n">
        <v>46293</v>
      </c>
      <c r="B14" s="2" t="n">
        <v>46299</v>
      </c>
      <c r="C14">
        <f>COUNTIFS('Журнал рассылки'!$B:$B,"&gt;="&amp;$A14,'Журнал рассылки'!$B:$B,"&lt;="&amp;$B14,'Журнал рассылки'!$J:$J,"Отправлено")+COUNTIFS('Журнал рассылки'!$B:$B,"&gt;="&amp;$A14,'Журнал рассылки'!$B:$B,"&lt;="&amp;$B14,'Журнал рассылки'!$J:$J,"Ответил")+COUNTIFS('Журнал рассылки'!$B:$B,"&gt;="&amp;$A14,'Журнал рассылки'!$B:$B,"&lt;="&amp;$B14,'Журнал рассылки'!$J:$J,"Переговоры")+COUNTIFS('Журнал рассылки'!$B:$B,"&gt;="&amp;$A14,'Журнал рассылки'!$B:$B,"&lt;="&amp;$B14,'Журнал рассылки'!$J:$J,"Созвон назначен")+COUNTIFS('Журнал рассылки'!$B:$B,"&gt;="&amp;$A14,'Журнал рассылки'!$B:$B,"&lt;="&amp;$B14,'Журнал рассылки'!$J:$J,"Стал клиентом")+COUNTIFS('Журнал рассылки'!$B:$B,"&gt;="&amp;$A14,'Журнал рассылки'!$B:$B,"&lt;="&amp;$B14,'Журнал рассылки'!$J:$J,"Эскалация (Яна)")+COUNTIFS('Журнал рассылки'!$B:$B,"&gt;="&amp;$A14,'Журнал рассылки'!$B:$B,"&lt;="&amp;$B14,'Журнал рассылки'!$J:$J,"Отказ")+COUNTIFS('Журнал рассылки'!$B:$B,"&gt;="&amp;$A14,'Журнал рассылки'!$B:$B,"&lt;="&amp;$B14,'Журнал рассылки'!$J:$J,"Отписался")</f>
        <v/>
      </c>
      <c r="D14">
        <f>COUNTIFS('Журнал рассылки'!$K:$K,"&gt;="&amp;$A14,'Журнал рассылки'!$K:$K,"&lt;="&amp;$B14)</f>
        <v/>
      </c>
      <c r="E14" s="4">
        <f>IFERROR(D14/C14,"")</f>
        <v/>
      </c>
      <c r="F14">
        <f>COUNTIFS('Журнал рассылки'!$K:$K,"&gt;="&amp;$A14,'Журнал рассылки'!$K:$K,"&lt;="&amp;$B14,'Журнал рассылки'!$J:$J,"Переговоры")+COUNTIFS('Журнал рассылки'!$K:$K,"&gt;="&amp;$A14,'Журнал рассылки'!$K:$K,"&lt;="&amp;$B14,'Журнал рассылки'!$J:$J,"Созвон назначен")+COUNTIFS('Журнал рассылки'!$K:$K,"&gt;="&amp;$A14,'Журнал рассылки'!$K:$K,"&lt;="&amp;$B14,'Журнал рассылки'!$J:$J,"Стал клиентом")</f>
        <v/>
      </c>
      <c r="G14">
        <f>COUNTIFS('Журнал рассылки'!$M:$M,"&gt;="&amp;$A14,'Журнал рассылки'!$M:$M,"&lt;="&amp;$B14)</f>
        <v/>
      </c>
      <c r="H14" s="4">
        <f>IFERROR(G14/C14,"")</f>
        <v/>
      </c>
      <c r="I14" s="6" t="inlineStr"/>
    </row>
    <row r="15">
      <c r="A15" s="2" t="n">
        <v>46300</v>
      </c>
      <c r="B15" s="2" t="n">
        <v>46306</v>
      </c>
      <c r="C15">
        <f>COUNTIFS('Журнал рассылки'!$B:$B,"&gt;="&amp;$A15,'Журнал рассылки'!$B:$B,"&lt;="&amp;$B15,'Журнал рассылки'!$J:$J,"Отправлено")+COUNTIFS('Журнал рассылки'!$B:$B,"&gt;="&amp;$A15,'Журнал рассылки'!$B:$B,"&lt;="&amp;$B15,'Журнал рассылки'!$J:$J,"Ответил")+COUNTIFS('Журнал рассылки'!$B:$B,"&gt;="&amp;$A15,'Журнал рассылки'!$B:$B,"&lt;="&amp;$B15,'Журнал рассылки'!$J:$J,"Переговоры")+COUNTIFS('Журнал рассылки'!$B:$B,"&gt;="&amp;$A15,'Журнал рассылки'!$B:$B,"&lt;="&amp;$B15,'Журнал рассылки'!$J:$J,"Созвон назначен")+COUNTIFS('Журнал рассылки'!$B:$B,"&gt;="&amp;$A15,'Журнал рассылки'!$B:$B,"&lt;="&amp;$B15,'Журнал рассылки'!$J:$J,"Стал клиентом")+COUNTIFS('Журнал рассылки'!$B:$B,"&gt;="&amp;$A15,'Журнал рассылки'!$B:$B,"&lt;="&amp;$B15,'Журнал рассылки'!$J:$J,"Эскалация (Яна)")+COUNTIFS('Журнал рассылки'!$B:$B,"&gt;="&amp;$A15,'Журнал рассылки'!$B:$B,"&lt;="&amp;$B15,'Журнал рассылки'!$J:$J,"Отказ")+COUNTIFS('Журнал рассылки'!$B:$B,"&gt;="&amp;$A15,'Журнал рассылки'!$B:$B,"&lt;="&amp;$B15,'Журнал рассылки'!$J:$J,"Отписался")</f>
        <v/>
      </c>
      <c r="D15">
        <f>COUNTIFS('Журнал рассылки'!$K:$K,"&gt;="&amp;$A15,'Журнал рассылки'!$K:$K,"&lt;="&amp;$B15)</f>
        <v/>
      </c>
      <c r="E15" s="4">
        <f>IFERROR(D15/C15,"")</f>
        <v/>
      </c>
      <c r="F15">
        <f>COUNTIFS('Журнал рассылки'!$K:$K,"&gt;="&amp;$A15,'Журнал рассылки'!$K:$K,"&lt;="&amp;$B15,'Журнал рассылки'!$J:$J,"Переговоры")+COUNTIFS('Журнал рассылки'!$K:$K,"&gt;="&amp;$A15,'Журнал рассылки'!$K:$K,"&lt;="&amp;$B15,'Журнал рассылки'!$J:$J,"Созвон назначен")+COUNTIFS('Журнал рассылки'!$K:$K,"&gt;="&amp;$A15,'Журнал рассылки'!$K:$K,"&lt;="&amp;$B15,'Журнал рассылки'!$J:$J,"Стал клиентом")</f>
        <v/>
      </c>
      <c r="G15">
        <f>COUNTIFS('Журнал рассылки'!$M:$M,"&gt;="&amp;$A15,'Журнал рассылки'!$M:$M,"&lt;="&amp;$B15)</f>
        <v/>
      </c>
      <c r="H15" s="4">
        <f>IFERROR(G15/C15,"")</f>
        <v/>
      </c>
      <c r="I15" s="6" t="inlineStr"/>
    </row>
    <row r="16">
      <c r="A16" s="2" t="n">
        <v>46307</v>
      </c>
      <c r="B16" s="2" t="n">
        <v>46313</v>
      </c>
      <c r="C16">
        <f>COUNTIFS('Журнал рассылки'!$B:$B,"&gt;="&amp;$A16,'Журнал рассылки'!$B:$B,"&lt;="&amp;$B16,'Журнал рассылки'!$J:$J,"Отправлено")+COUNTIFS('Журнал рассылки'!$B:$B,"&gt;="&amp;$A16,'Журнал рассылки'!$B:$B,"&lt;="&amp;$B16,'Журнал рассылки'!$J:$J,"Ответил")+COUNTIFS('Журнал рассылки'!$B:$B,"&gt;="&amp;$A16,'Журнал рассылки'!$B:$B,"&lt;="&amp;$B16,'Журнал рассылки'!$J:$J,"Переговоры")+COUNTIFS('Журнал рассылки'!$B:$B,"&gt;="&amp;$A16,'Журнал рассылки'!$B:$B,"&lt;="&amp;$B16,'Журнал рассылки'!$J:$J,"Созвон назначен")+COUNTIFS('Журнал рассылки'!$B:$B,"&gt;="&amp;$A16,'Журнал рассылки'!$B:$B,"&lt;="&amp;$B16,'Журнал рассылки'!$J:$J,"Стал клиентом")+COUNTIFS('Журнал рассылки'!$B:$B,"&gt;="&amp;$A16,'Журнал рассылки'!$B:$B,"&lt;="&amp;$B16,'Журнал рассылки'!$J:$J,"Эскалация (Яна)")+COUNTIFS('Журнал рассылки'!$B:$B,"&gt;="&amp;$A16,'Журнал рассылки'!$B:$B,"&lt;="&amp;$B16,'Журнал рассылки'!$J:$J,"Отказ")+COUNTIFS('Журнал рассылки'!$B:$B,"&gt;="&amp;$A16,'Журнал рассылки'!$B:$B,"&lt;="&amp;$B16,'Журнал рассылки'!$J:$J,"Отписался")</f>
        <v/>
      </c>
      <c r="D16">
        <f>COUNTIFS('Журнал рассылки'!$K:$K,"&gt;="&amp;$A16,'Журнал рассылки'!$K:$K,"&lt;="&amp;$B16)</f>
        <v/>
      </c>
      <c r="E16" s="4">
        <f>IFERROR(D16/C16,"")</f>
        <v/>
      </c>
      <c r="F16">
        <f>COUNTIFS('Журнал рассылки'!$K:$K,"&gt;="&amp;$A16,'Журнал рассылки'!$K:$K,"&lt;="&amp;$B16,'Журнал рассылки'!$J:$J,"Переговоры")+COUNTIFS('Журнал рассылки'!$K:$K,"&gt;="&amp;$A16,'Журнал рассылки'!$K:$K,"&lt;="&amp;$B16,'Журнал рассылки'!$J:$J,"Созвон назначен")+COUNTIFS('Журнал рассылки'!$K:$K,"&gt;="&amp;$A16,'Журнал рассылки'!$K:$K,"&lt;="&amp;$B16,'Журнал рассылки'!$J:$J,"Стал клиентом")</f>
        <v/>
      </c>
      <c r="G16">
        <f>COUNTIFS('Журнал рассылки'!$M:$M,"&gt;="&amp;$A16,'Журнал рассылки'!$M:$M,"&lt;="&amp;$B16)</f>
        <v/>
      </c>
      <c r="H16" s="4">
        <f>IFERROR(G16/C16,"")</f>
        <v/>
      </c>
      <c r="I16" s="6" t="inlineStr"/>
    </row>
    <row r="17">
      <c r="A17" s="2" t="n">
        <v>46314</v>
      </c>
      <c r="B17" s="2" t="n">
        <v>46320</v>
      </c>
      <c r="C17">
        <f>COUNTIFS('Журнал рассылки'!$B:$B,"&gt;="&amp;$A17,'Журнал рассылки'!$B:$B,"&lt;="&amp;$B17,'Журнал рассылки'!$J:$J,"Отправлено")+COUNTIFS('Журнал рассылки'!$B:$B,"&gt;="&amp;$A17,'Журнал рассылки'!$B:$B,"&lt;="&amp;$B17,'Журнал рассылки'!$J:$J,"Ответил")+COUNTIFS('Журнал рассылки'!$B:$B,"&gt;="&amp;$A17,'Журнал рассылки'!$B:$B,"&lt;="&amp;$B17,'Журнал рассылки'!$J:$J,"Переговоры")+COUNTIFS('Журнал рассылки'!$B:$B,"&gt;="&amp;$A17,'Журнал рассылки'!$B:$B,"&lt;="&amp;$B17,'Журнал рассылки'!$J:$J,"Созвон назначен")+COUNTIFS('Журнал рассылки'!$B:$B,"&gt;="&amp;$A17,'Журнал рассылки'!$B:$B,"&lt;="&amp;$B17,'Журнал рассылки'!$J:$J,"Стал клиентом")+COUNTIFS('Журнал рассылки'!$B:$B,"&gt;="&amp;$A17,'Журнал рассылки'!$B:$B,"&lt;="&amp;$B17,'Журнал рассылки'!$J:$J,"Эскалация (Яна)")+COUNTIFS('Журнал рассылки'!$B:$B,"&gt;="&amp;$A17,'Журнал рассылки'!$B:$B,"&lt;="&amp;$B17,'Журнал рассылки'!$J:$J,"Отказ")+COUNTIFS('Журнал рассылки'!$B:$B,"&gt;="&amp;$A17,'Журнал рассылки'!$B:$B,"&lt;="&amp;$B17,'Журнал рассылки'!$J:$J,"Отписался")</f>
        <v/>
      </c>
      <c r="D17">
        <f>COUNTIFS('Журнал рассылки'!$K:$K,"&gt;="&amp;$A17,'Журнал рассылки'!$K:$K,"&lt;="&amp;$B17)</f>
        <v/>
      </c>
      <c r="E17" s="4">
        <f>IFERROR(D17/C17,"")</f>
        <v/>
      </c>
      <c r="F17">
        <f>COUNTIFS('Журнал рассылки'!$K:$K,"&gt;="&amp;$A17,'Журнал рассылки'!$K:$K,"&lt;="&amp;$B17,'Журнал рассылки'!$J:$J,"Переговоры")+COUNTIFS('Журнал рассылки'!$K:$K,"&gt;="&amp;$A17,'Журнал рассылки'!$K:$K,"&lt;="&amp;$B17,'Журнал рассылки'!$J:$J,"Созвон назначен")+COUNTIFS('Журнал рассылки'!$K:$K,"&gt;="&amp;$A17,'Журнал рассылки'!$K:$K,"&lt;="&amp;$B17,'Журнал рассылки'!$J:$J,"Стал клиентом")</f>
        <v/>
      </c>
      <c r="G17">
        <f>COUNTIFS('Журнал рассылки'!$M:$M,"&gt;="&amp;$A17,'Журнал рассылки'!$M:$M,"&lt;="&amp;$B17)</f>
        <v/>
      </c>
      <c r="H17" s="4">
        <f>IFERROR(G17/C17,"")</f>
        <v/>
      </c>
      <c r="I1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2026-07-06T01:47:50Z</dcterms:created>
  <dcterms:modified xsi:type="dcterms:W3CDTF">2026-07-06T01:47:50Z</dcterms:modified>
</cp:coreProperties>
</file>